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Cost Savings" sheetId="1" r:id="rId4"/>
    <sheet state="visible" name="Loss % saved" sheetId="2" r:id="rId5"/>
    <sheet state="visible" name="Increased Retention" sheetId="3" r:id="rId6"/>
  </sheets>
  <definedNames/>
  <calcPr/>
</workbook>
</file>

<file path=xl/sharedStrings.xml><?xml version="1.0" encoding="utf-8"?>
<sst xmlns="http://schemas.openxmlformats.org/spreadsheetml/2006/main" count="44" uniqueCount="36">
  <si>
    <t>Program Stats</t>
  </si>
  <si>
    <t>Students Served</t>
  </si>
  <si>
    <t># Mentorship Programs</t>
  </si>
  <si>
    <t>Time Saved</t>
  </si>
  <si>
    <t>Training</t>
  </si>
  <si>
    <t>Matching</t>
  </si>
  <si>
    <t>Communicating</t>
  </si>
  <si>
    <t>Total Hours Saved</t>
  </si>
  <si>
    <t>Staff Member Hourly Pay</t>
  </si>
  <si>
    <t xml:space="preserve">Staff Time Cost Savings </t>
  </si>
  <si>
    <t>y1</t>
  </si>
  <si>
    <t>y2</t>
  </si>
  <si>
    <t>P1</t>
  </si>
  <si>
    <t>P2</t>
  </si>
  <si>
    <t>P3</t>
  </si>
  <si>
    <t>P4</t>
  </si>
  <si>
    <t>Metrics</t>
  </si>
  <si>
    <t xml:space="preserve">            Revenue Outcomes</t>
  </si>
  <si>
    <t>Tuition</t>
  </si>
  <si>
    <t>Loss %</t>
  </si>
  <si>
    <t>Loss number of students</t>
  </si>
  <si>
    <t>Retention Rate</t>
  </si>
  <si>
    <t>Students Retained</t>
  </si>
  <si>
    <t>Total Savings (including staff cost savings)</t>
  </si>
  <si>
    <t>12mo</t>
  </si>
  <si>
    <t>9mo</t>
  </si>
  <si>
    <t>7mo</t>
  </si>
  <si>
    <t>5mo</t>
  </si>
  <si>
    <t xml:space="preserve">Southern Illinois University </t>
  </si>
  <si>
    <t>Rention currently</t>
  </si>
  <si>
    <t>Current Tuition</t>
  </si>
  <si>
    <t>Loss of tuition from Population</t>
  </si>
  <si>
    <t>Retained Tuition of Population</t>
  </si>
  <si>
    <t>Retention increase</t>
  </si>
  <si>
    <t xml:space="preserve">Increased Tuition </t>
  </si>
  <si>
    <t>ROI (including staff cost savings)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</si>
</sst>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1" fillId="2" fontId="2" numFmtId="3" xfId="0" applyAlignment="1" applyBorder="1" applyFill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1" fillId="2" fontId="2" numFmtId="165" xfId="0" applyAlignment="1" applyBorder="1" applyFont="1" applyNumberForma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2" fontId="7" numFmtId="164" xfId="0" applyAlignment="1" applyBorder="1" applyFont="1" applyNumberFormat="1">
      <alignment horizontal="right" vertical="bottom"/>
    </xf>
    <xf borderId="1" fillId="2" fontId="7" numFmtId="4" xfId="0" applyAlignment="1" applyBorder="1" applyFont="1" applyNumberFormat="1">
      <alignment horizontal="right" vertical="bottom"/>
    </xf>
    <xf borderId="1" fillId="2" fontId="7" numFmtId="9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4" numFmtId="10" xfId="0" applyAlignment="1" applyFont="1" applyNumberFormat="1">
      <alignment vertical="bottom"/>
    </xf>
    <xf borderId="1" fillId="2" fontId="7" numFmtId="10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1" fillId="2" fontId="3" numFmtId="0" xfId="0" applyAlignment="1" applyBorder="1" applyFont="1">
      <alignment readingOrder="0"/>
    </xf>
    <xf borderId="1" fillId="2" fontId="3" numFmtId="9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0" fillId="0" fontId="3" numFmtId="165" xfId="0" applyFont="1" applyNumberFormat="1"/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7.38"/>
    <col customWidth="1" min="3" max="3" width="22.5"/>
  </cols>
  <sheetData>
    <row r="2">
      <c r="A2" s="1" t="s">
        <v>0</v>
      </c>
      <c r="B2" s="2"/>
      <c r="C2" s="2"/>
      <c r="D2" s="3"/>
    </row>
    <row r="3">
      <c r="A3" s="4" t="s">
        <v>1</v>
      </c>
      <c r="B3" s="5"/>
      <c r="C3" s="6">
        <v>1000.0</v>
      </c>
      <c r="D3" s="3"/>
    </row>
    <row r="4">
      <c r="A4" s="4" t="s">
        <v>2</v>
      </c>
      <c r="B4" s="5"/>
      <c r="C4" s="6">
        <v>1.0</v>
      </c>
      <c r="D4" s="3"/>
    </row>
    <row r="5">
      <c r="A5" s="3"/>
      <c r="B5" s="3"/>
      <c r="C5" s="7"/>
      <c r="D5" s="3"/>
    </row>
    <row r="6">
      <c r="A6" s="1" t="s">
        <v>3</v>
      </c>
      <c r="B6" s="3"/>
      <c r="C6" s="7"/>
      <c r="D6" s="3"/>
    </row>
    <row r="7">
      <c r="A7" s="4" t="s">
        <v>4</v>
      </c>
      <c r="B7" s="5"/>
      <c r="C7" s="8">
        <f>106.25*C4</f>
        <v>106.25</v>
      </c>
      <c r="D7" s="3"/>
    </row>
    <row r="8">
      <c r="A8" s="4" t="s">
        <v>5</v>
      </c>
      <c r="B8" s="5"/>
      <c r="C8" s="8">
        <f>12*C3/60</f>
        <v>200</v>
      </c>
      <c r="D8" s="3"/>
    </row>
    <row r="9">
      <c r="A9" s="4" t="s">
        <v>6</v>
      </c>
      <c r="B9" s="9"/>
      <c r="C9" s="8">
        <f>58*2.5*C3/60</f>
        <v>2416.666667</v>
      </c>
      <c r="D9" s="3"/>
    </row>
    <row r="10">
      <c r="A10" s="1" t="s">
        <v>7</v>
      </c>
      <c r="B10" s="9"/>
      <c r="C10" s="8">
        <f>SUM(C7:C9)</f>
        <v>2722.916667</v>
      </c>
      <c r="D10" s="3"/>
    </row>
    <row r="11">
      <c r="A11" s="4"/>
      <c r="B11" s="9"/>
      <c r="C11" s="9"/>
      <c r="D11" s="3"/>
    </row>
    <row r="12">
      <c r="A12" s="4" t="s">
        <v>8</v>
      </c>
      <c r="B12" s="10"/>
      <c r="C12" s="11">
        <v>22.0</v>
      </c>
      <c r="D12" s="3"/>
    </row>
    <row r="13">
      <c r="A13" s="1" t="s">
        <v>9</v>
      </c>
      <c r="B13" s="9"/>
      <c r="C13" s="12">
        <f>C12*C10</f>
        <v>59904.16667</v>
      </c>
      <c r="D13" s="13"/>
    </row>
    <row r="14">
      <c r="A14" s="3"/>
      <c r="B14" s="3"/>
      <c r="C14" s="3"/>
      <c r="D14" s="4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8">
      <c r="A18" s="3"/>
      <c r="B18" s="3"/>
      <c r="C18" s="3"/>
    </row>
    <row r="19">
      <c r="A19" s="4"/>
      <c r="B19" s="9"/>
      <c r="C19" s="9"/>
    </row>
    <row r="20">
      <c r="A20" s="4"/>
      <c r="B20" s="9"/>
      <c r="C20" s="9"/>
    </row>
    <row r="21">
      <c r="A21" s="4"/>
      <c r="B21" s="9"/>
      <c r="C21" s="9"/>
    </row>
    <row r="22">
      <c r="A22" s="3"/>
      <c r="B22" s="10"/>
      <c r="C22" s="10"/>
    </row>
    <row r="23">
      <c r="A23" s="4"/>
      <c r="B23" s="9"/>
      <c r="C23" s="9"/>
    </row>
    <row r="24">
      <c r="A24" s="3"/>
      <c r="B24" s="3"/>
      <c r="C24" s="3"/>
    </row>
    <row r="28">
      <c r="A28" s="3"/>
      <c r="B28" s="3"/>
      <c r="C28" s="3"/>
    </row>
    <row r="29">
      <c r="A29" s="4"/>
      <c r="B29" s="9"/>
      <c r="C29" s="9"/>
    </row>
    <row r="30">
      <c r="A30" s="4"/>
      <c r="B30" s="9"/>
      <c r="C30" s="9"/>
    </row>
    <row r="31">
      <c r="A31" s="4"/>
      <c r="B31" s="9"/>
      <c r="C31" s="9"/>
    </row>
    <row r="32">
      <c r="A32" s="3"/>
      <c r="B32" s="10"/>
      <c r="C32" s="10"/>
    </row>
    <row r="33">
      <c r="A33" s="4"/>
      <c r="B33" s="9"/>
      <c r="C33" s="9"/>
    </row>
    <row r="34">
      <c r="A34" s="3"/>
      <c r="B34" s="3"/>
      <c r="C34" s="3"/>
    </row>
    <row r="47">
      <c r="A47" s="14">
        <v>100000.0</v>
      </c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4" t="s">
        <v>10</v>
      </c>
      <c r="E49" s="14" t="s">
        <v>11</v>
      </c>
      <c r="F49" s="15"/>
      <c r="G49" s="15"/>
    </row>
    <row r="50">
      <c r="A50" s="14" t="s">
        <v>12</v>
      </c>
      <c r="B50" s="16">
        <v>50000.0</v>
      </c>
      <c r="C50" s="17">
        <v>45292.0</v>
      </c>
      <c r="D50" s="14">
        <v>25000.0</v>
      </c>
      <c r="E50" s="14">
        <v>25000.0</v>
      </c>
      <c r="F50" s="15"/>
      <c r="G50" s="15"/>
    </row>
    <row r="51">
      <c r="A51" s="14" t="s">
        <v>13</v>
      </c>
      <c r="B51" s="16">
        <v>25000.0</v>
      </c>
      <c r="C51" s="17">
        <v>45352.0</v>
      </c>
      <c r="D51" s="15">
        <f>(D50/12)*9</f>
        <v>18750</v>
      </c>
      <c r="E51" s="14">
        <v>25000.0</v>
      </c>
      <c r="F51" s="15"/>
      <c r="G51" s="15"/>
    </row>
    <row r="52">
      <c r="A52" s="14" t="s">
        <v>14</v>
      </c>
      <c r="B52" s="16">
        <v>10000.0</v>
      </c>
      <c r="C52" s="17">
        <v>45413.0</v>
      </c>
      <c r="D52" s="15">
        <f>(D50/12)*7</f>
        <v>14583.33333</v>
      </c>
      <c r="E52" s="14">
        <v>25000.0</v>
      </c>
      <c r="F52" s="15"/>
      <c r="G52" s="15"/>
    </row>
    <row r="53">
      <c r="A53" s="14" t="s">
        <v>15</v>
      </c>
      <c r="B53" s="16">
        <v>15000.0</v>
      </c>
      <c r="C53" s="17">
        <v>45474.0</v>
      </c>
      <c r="D53" s="15">
        <f>(D50/12)*5</f>
        <v>10416.66667</v>
      </c>
      <c r="E53" s="14">
        <v>25000.0</v>
      </c>
      <c r="F53" s="15"/>
      <c r="G53" s="15"/>
    </row>
    <row r="54">
      <c r="A54" s="15"/>
      <c r="B54" s="15"/>
      <c r="C54" s="15"/>
      <c r="D54" s="15">
        <f t="shared" ref="D54:E54" si="1">SUM(D50:D53)</f>
        <v>68750</v>
      </c>
      <c r="E54" s="15">
        <f t="shared" si="1"/>
        <v>100000</v>
      </c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19.75"/>
    <col customWidth="1" min="4" max="4" width="35.2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8"/>
      <c r="B2" s="19"/>
      <c r="C2" s="1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0" t="s">
        <v>16</v>
      </c>
      <c r="B4" s="18"/>
      <c r="C4" s="18"/>
      <c r="D4" s="21" t="s">
        <v>17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22" t="s">
        <v>18</v>
      </c>
      <c r="B5" s="19"/>
      <c r="C5" s="23">
        <v>15000.0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22" t="s">
        <v>1</v>
      </c>
      <c r="B6" s="19"/>
      <c r="C6" s="24">
        <v>6200.0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22" t="s">
        <v>19</v>
      </c>
      <c r="B7" s="18"/>
      <c r="C7" s="25">
        <v>0.26</v>
      </c>
      <c r="D7" s="26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22" t="s">
        <v>20</v>
      </c>
      <c r="B8" s="18"/>
      <c r="C8" s="27">
        <f>C6*C7</f>
        <v>1612</v>
      </c>
      <c r="D8" s="28">
        <f>C8*C5</f>
        <v>24180000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22" t="s">
        <v>21</v>
      </c>
      <c r="B9" s="29"/>
      <c r="C9" s="30">
        <v>0.035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2" t="s">
        <v>22</v>
      </c>
      <c r="B10" s="18"/>
      <c r="C10" s="27">
        <f>C8*C9</f>
        <v>56.42</v>
      </c>
      <c r="D10" s="28">
        <f>C10*C5</f>
        <v>846300</v>
      </c>
      <c r="E10" s="26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31" t="s">
        <v>23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26">
        <f>D10+'Staff Cost Savings'!C13</f>
        <v>906204.1667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9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2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29"/>
      <c r="C19" s="29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26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26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29"/>
      <c r="C29" s="2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2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32">
        <v>100000.0</v>
      </c>
      <c r="B44" s="19"/>
      <c r="C44" s="19"/>
      <c r="D44" s="19"/>
      <c r="E44" s="19"/>
      <c r="F44" s="19"/>
      <c r="G44" s="19"/>
      <c r="H44" s="19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9"/>
      <c r="B45" s="19"/>
      <c r="C45" s="19"/>
      <c r="D45" s="19"/>
      <c r="E45" s="19"/>
      <c r="F45" s="19"/>
      <c r="G45" s="19"/>
      <c r="H45" s="19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9"/>
      <c r="B46" s="19"/>
      <c r="C46" s="19"/>
      <c r="D46" s="19"/>
      <c r="E46" s="19" t="s">
        <v>10</v>
      </c>
      <c r="F46" s="19" t="s">
        <v>11</v>
      </c>
      <c r="G46" s="19"/>
      <c r="H46" s="19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9" t="s">
        <v>12</v>
      </c>
      <c r="B47" s="33">
        <v>50000.0</v>
      </c>
      <c r="C47" s="34">
        <v>45292.0</v>
      </c>
      <c r="D47" s="19" t="s">
        <v>24</v>
      </c>
      <c r="E47" s="32">
        <v>25000.0</v>
      </c>
      <c r="F47" s="32">
        <v>25000.0</v>
      </c>
      <c r="G47" s="19"/>
      <c r="H47" s="19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9" t="s">
        <v>13</v>
      </c>
      <c r="B48" s="33">
        <v>25000.0</v>
      </c>
      <c r="C48" s="34">
        <v>45352.0</v>
      </c>
      <c r="D48" s="19" t="s">
        <v>25</v>
      </c>
      <c r="E48" s="32">
        <f>(E47/12)*9</f>
        <v>18750</v>
      </c>
      <c r="F48" s="32">
        <v>25000.0</v>
      </c>
      <c r="G48" s="19"/>
      <c r="H48" s="1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9" t="s">
        <v>14</v>
      </c>
      <c r="B49" s="33">
        <v>10000.0</v>
      </c>
      <c r="C49" s="34">
        <v>45413.0</v>
      </c>
      <c r="D49" s="19" t="s">
        <v>26</v>
      </c>
      <c r="E49" s="32">
        <f>(E47/12)*7</f>
        <v>14583.33333</v>
      </c>
      <c r="F49" s="32">
        <v>25000.0</v>
      </c>
      <c r="G49" s="19"/>
      <c r="H49" s="19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9" t="s">
        <v>15</v>
      </c>
      <c r="B50" s="33">
        <v>15000.0</v>
      </c>
      <c r="C50" s="34">
        <v>45474.0</v>
      </c>
      <c r="D50" s="19" t="s">
        <v>27</v>
      </c>
      <c r="E50" s="32">
        <f>(E47/12)*5</f>
        <v>10416.66667</v>
      </c>
      <c r="F50" s="32">
        <v>25000.0</v>
      </c>
      <c r="G50" s="19"/>
      <c r="H50" s="1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9"/>
      <c r="B51" s="19"/>
      <c r="C51" s="19"/>
      <c r="D51" s="19"/>
      <c r="E51" s="32">
        <f t="shared" ref="E51:F51" si="1">SUM(E47:E50)</f>
        <v>68750</v>
      </c>
      <c r="F51" s="32">
        <f t="shared" si="1"/>
        <v>100000</v>
      </c>
      <c r="G51" s="19"/>
      <c r="H51" s="19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9"/>
      <c r="B52" s="19"/>
      <c r="C52" s="19"/>
      <c r="D52" s="19"/>
      <c r="E52" s="19"/>
      <c r="F52" s="19"/>
      <c r="G52" s="19"/>
      <c r="H52" s="1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9"/>
      <c r="B53" s="19"/>
      <c r="C53" s="19"/>
      <c r="D53" s="19"/>
      <c r="E53" s="19"/>
      <c r="F53" s="19"/>
      <c r="G53" s="19"/>
      <c r="H53" s="19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9"/>
      <c r="B54" s="19"/>
      <c r="C54" s="19"/>
      <c r="D54" s="19"/>
      <c r="E54" s="19"/>
      <c r="F54" s="19"/>
      <c r="G54" s="19"/>
      <c r="H54" s="1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9"/>
      <c r="B55" s="19"/>
      <c r="C55" s="19"/>
      <c r="D55" s="19"/>
      <c r="E55" s="19"/>
      <c r="F55" s="19"/>
      <c r="G55" s="19"/>
      <c r="H55" s="19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9"/>
      <c r="B56" s="19"/>
      <c r="C56" s="19"/>
      <c r="D56" s="19"/>
      <c r="E56" s="19"/>
      <c r="F56" s="19"/>
      <c r="G56" s="19"/>
      <c r="H56" s="1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9"/>
      <c r="B57" s="19"/>
      <c r="C57" s="19"/>
      <c r="D57" s="19"/>
      <c r="E57" s="19"/>
      <c r="F57" s="19"/>
      <c r="G57" s="19"/>
      <c r="H57" s="19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9"/>
      <c r="B58" s="19"/>
      <c r="C58" s="19"/>
      <c r="D58" s="19"/>
      <c r="E58" s="19"/>
      <c r="F58" s="19"/>
      <c r="G58" s="19"/>
      <c r="H58" s="1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9"/>
      <c r="B59" s="19"/>
      <c r="C59" s="19"/>
      <c r="D59" s="19"/>
      <c r="E59" s="19"/>
      <c r="F59" s="19"/>
      <c r="G59" s="19"/>
      <c r="H59" s="1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9"/>
      <c r="B60" s="19"/>
      <c r="C60" s="19"/>
      <c r="D60" s="19"/>
      <c r="E60" s="19"/>
      <c r="F60" s="19"/>
      <c r="G60" s="19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4">
      <c r="A4" s="35" t="s">
        <v>28</v>
      </c>
    </row>
    <row r="6">
      <c r="A6" s="16" t="s">
        <v>1</v>
      </c>
      <c r="B6" s="35">
        <v>300.0</v>
      </c>
    </row>
    <row r="7">
      <c r="A7" s="16" t="s">
        <v>29</v>
      </c>
      <c r="B7" s="36">
        <v>0.7</v>
      </c>
    </row>
    <row r="8">
      <c r="A8" s="16" t="s">
        <v>30</v>
      </c>
      <c r="B8" s="37">
        <v>17000.0</v>
      </c>
    </row>
    <row r="10">
      <c r="A10" s="16" t="s">
        <v>31</v>
      </c>
      <c r="B10" s="38">
        <f>((B6*B7)-B6)*B8</f>
        <v>-1530000</v>
      </c>
    </row>
    <row r="11">
      <c r="A11" s="16" t="s">
        <v>32</v>
      </c>
      <c r="B11" s="38">
        <f>(B7*B6)*B8</f>
        <v>3570000</v>
      </c>
    </row>
    <row r="12">
      <c r="A12" s="16" t="s">
        <v>33</v>
      </c>
      <c r="B12" s="39">
        <v>0.05</v>
      </c>
    </row>
    <row r="14">
      <c r="A14" s="16" t="s">
        <v>34</v>
      </c>
      <c r="B14" s="38">
        <f>((B7+B12)*B6)*B8</f>
        <v>3825000</v>
      </c>
    </row>
    <row r="15">
      <c r="A15" s="16" t="s">
        <v>35</v>
      </c>
      <c r="B15" s="38">
        <f>(B14-B11)+'Staff Cost Savings'!C13</f>
        <v>314904.1667</v>
      </c>
    </row>
  </sheetData>
  <drawing r:id="rId1"/>
</worksheet>
</file>